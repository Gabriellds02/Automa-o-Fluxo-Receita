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Escritorio\Desktop\Automatizando Fluxo de Caixa\Base_dados\"/>
    </mc:Choice>
  </mc:AlternateContent>
  <xr:revisionPtr revIDLastSave="0" documentId="13_ncr:1_{C9EDDBD9-4CEF-47C4-A008-B5F87EB511BD}" xr6:coauthVersionLast="47" xr6:coauthVersionMax="47" xr10:uidLastSave="{00000000-0000-0000-0000-000000000000}"/>
  <bookViews>
    <workbookView showHorizontalScroll="0" showVerticalScroll="0" showSheetTabs="0" xWindow="-120" yWindow="-120" windowWidth="29040" windowHeight="15840" xr2:uid="{45A04A89-183D-4374-B846-1430CA3696A7}"/>
  </bookViews>
  <sheets>
    <sheet name="Dashboard" sheetId="1" r:id="rId1"/>
    <sheet name="Planilha_sup" sheetId="5" r:id="rId2"/>
    <sheet name="Data_Base" sheetId="4" r:id="rId3"/>
  </sheets>
  <externalReferences>
    <externalReference r:id="rId4"/>
  </externalReferences>
  <definedNames>
    <definedName name="DadosExternos_1" localSheetId="2" hidden="1">Data_Base!$A$1:$D$35</definedName>
    <definedName name="NativeTimeline_Data_Pagamento">#N/A</definedName>
    <definedName name="NativeTimeline_Data_Pagamento1">#N/A</definedName>
    <definedName name="SegmentaçãodeDados_Programa_Piso">#N/A</definedName>
  </definedNames>
  <calcPr calcId="191029"/>
  <pivotCaches>
    <pivotCache cacheId="29" r:id="rId5"/>
    <pivotCache cacheId="33" r:id="rId6"/>
  </pivotCaches>
  <extLst>
    <ext xmlns:x14="http://schemas.microsoft.com/office/spreadsheetml/2009/9/main" uri="{BBE1A952-AA13-448e-AADC-164F8A28A991}">
      <x14:slicerCaches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  <x15:timelineCacheRef r:id="rId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Y39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E83DEBA-5BFB-4FAB-BAD2-DCFE8AE046A8}" keepAlive="1" name="Consulta - Data_Base" description="Conexão com a consulta 'Data_Base' na pasta de trabalho." type="5" refreshedVersion="8" background="1" saveData="1">
    <dbPr connection="Provider=Microsoft.Mashup.OleDb.1;Data Source=$Workbook$;Location=Data_Base;Extended Properties=&quot;&quot;" command="SELECT * FROM [Data_Base]"/>
  </connection>
</connections>
</file>

<file path=xl/sharedStrings.xml><?xml version="1.0" encoding="utf-8"?>
<sst xmlns="http://schemas.openxmlformats.org/spreadsheetml/2006/main" count="64" uniqueCount="26">
  <si>
    <t>Column1</t>
  </si>
  <si>
    <t>Programa/Piso</t>
  </si>
  <si>
    <t>Data Pagamento</t>
  </si>
  <si>
    <t>Valor</t>
  </si>
  <si>
    <t>Programas/SIGTV ESTRUTURAÇÃO INVESTIMENTO</t>
  </si>
  <si>
    <t>Bloco da Proteção Social Especial de Média Complexidade/COMPONENTE - PTMC</t>
  </si>
  <si>
    <t>Bloco da Proteção Social Especial de Média Complexidade/PFMC - MSE</t>
  </si>
  <si>
    <t>Bloco da Proteção Social Básica/COMPONENTE - SCFV</t>
  </si>
  <si>
    <t>Bloco da Proteção Social Básica/COMPONENTE - PBFI</t>
  </si>
  <si>
    <t>Bloco da Gestão do Programa Bolsa Família e do Cadastro Único/IGD PROGRAMA AUXÍLIO BRASIL</t>
  </si>
  <si>
    <t>Bloco da Proteção Social Especial de Média Complexidade/PFMC - CREAS PAEFI</t>
  </si>
  <si>
    <t>Bloco da Proteção Social Especial de Média Complexidade/COMPONENTE - PACI CRIANÇA ADOLESCEN</t>
  </si>
  <si>
    <t>Bloco da Proteção Social Básica/PSB - PORT 751-22</t>
  </si>
  <si>
    <t>Bloco da Proteção Social Especial de Média Complexidade/PSE - PORT 751-22</t>
  </si>
  <si>
    <t>Bloco da Gestão do SUAS/IGD-SUAS</t>
  </si>
  <si>
    <t>Soma de Valor</t>
  </si>
  <si>
    <t>Rótulos de Coluna</t>
  </si>
  <si>
    <t>Rótulos de Linha</t>
  </si>
  <si>
    <t>Total Geral</t>
  </si>
  <si>
    <t>mar</t>
  </si>
  <si>
    <t>abr</t>
  </si>
  <si>
    <t>mai</t>
  </si>
  <si>
    <t>jul</t>
  </si>
  <si>
    <t>Meses</t>
  </si>
  <si>
    <t>(Tudo)</t>
  </si>
  <si>
    <t>jun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</si>
</sst>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R$&quot;#,##0.00"/>
  </numFmts>
  <fonts count="2" x14ac:knownFonts="1"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0" borderId="0" xfId="0" applyNumberFormat="1"/>
    <xf numFmtId="14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164" fontId="1" fillId="3" borderId="0" xfId="0" applyNumberFormat="1" applyFont="1" applyFill="1"/>
  </cellXfs>
  <cellStyles count="1">
    <cellStyle name="Normal" xfId="0" builtinId="0"/>
  </cellStyles>
  <dxfs count="9">
    <dxf>
      <numFmt numFmtId="164" formatCode="&quot;R$&quot;#,##0.00"/>
    </dxf>
    <dxf>
      <numFmt numFmtId="19" formatCode="dd/mm/yyyy"/>
    </dxf>
    <dxf>
      <numFmt numFmtId="0" formatCode="General"/>
    </dxf>
    <dxf>
      <numFmt numFmtId="164" formatCode="&quot;R$&quot;#,##0.00"/>
    </dxf>
    <dxf>
      <numFmt numFmtId="164" formatCode="&quot;R$&quot;#,##0.00"/>
    </dxf>
    <dxf>
      <font>
        <b/>
        <i val="0"/>
        <sz val="14"/>
        <color theme="0"/>
      </font>
      <fill>
        <patternFill>
          <bgColor theme="1"/>
        </patternFill>
      </fill>
    </dxf>
    <dxf>
      <font>
        <sz val="9"/>
        <color theme="0"/>
      </font>
      <fill>
        <patternFill>
          <bgColor theme="3" tint="-0.499984740745262"/>
        </patternFill>
      </fill>
    </dxf>
    <dxf>
      <font>
        <b/>
        <sz val="11"/>
        <color theme="1"/>
      </font>
    </dxf>
    <dxf>
      <fill>
        <patternFill patternType="solid">
          <fgColor theme="0"/>
          <bgColor theme="0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Estilo de Linha do Tempo 1" pivot="0" table="0" count="9" xr9:uid="{59C734BB-9AF2-4F6E-BED9-A76FA893D8BD}">
      <tableStyleElement type="wholeTable" dxfId="8"/>
      <tableStyleElement type="headerRow" dxfId="7"/>
    </tableStyle>
    <tableStyle name="Estilo de Segmentação de Dados 1" pivot="0" table="0" count="6" xr9:uid="{453EC992-F05E-45CA-BAAD-990489CABF69}">
      <tableStyleElement type="wholeTable" dxfId="6"/>
      <tableStyleElement type="headerRow" dxfId="5"/>
    </tableStyle>
  </tableStyles>
  <extLst>
    <ext xmlns:x14="http://schemas.microsoft.com/office/spreadsheetml/2009/9/main" uri="{46F421CA-312F-682f-3DD2-61675219B42D}">
      <x14:dxfs count="4">
        <dxf>
          <font>
            <b/>
            <i val="0"/>
          </font>
          <fill>
            <patternFill>
              <bgColor theme="4" tint="-0.499984740745262"/>
            </patternFill>
          </fill>
        </dxf>
        <dxf>
          <font>
            <b/>
            <i val="0"/>
          </font>
          <fill>
            <patternFill>
              <bgColor theme="4" tint="-0.499984740745262"/>
            </patternFill>
          </fill>
        </dxf>
        <dxf>
          <fill>
            <patternFill>
              <bgColor theme="3" tint="-0.499984740745262"/>
            </patternFill>
          </fill>
        </dxf>
        <dxf>
          <fill>
            <patternFill>
              <bgColor theme="3" tint="-0.49998474074526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unselectedItemWithData" dxfId="3"/>
            <x14:slicerStyleElement type="unselectedItemWithNoData" dxfId="2"/>
            <x14:slicerStyleElement type="selectedItemWithData" dxfId="1"/>
            <x14:slicerStyleElement type="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7">
        <dxf>
          <fill>
            <patternFill>
              <bgColor theme="3" tint="0.39994506668294322"/>
            </patternFill>
          </fill>
        </dxf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theme="3" tint="0.39994506668294322"/>
            </patternFill>
          </fill>
        </dxf>
        <dxf>
          <font>
            <sz val="9"/>
            <color auto="1"/>
            <name val="Calibri"/>
            <family val="2"/>
            <scheme val="minor"/>
          </font>
        </dxf>
        <dxf>
          <font>
            <sz val="9"/>
            <color auto="1"/>
            <name val="Calibri"/>
            <family val="2"/>
            <scheme val="minor"/>
          </font>
        </dxf>
        <dxf>
          <font>
            <sz val="9"/>
            <color auto="1"/>
            <name val="Calibri"/>
            <family val="2"/>
            <scheme val="minor"/>
          </font>
        </dxf>
        <dxf>
          <font>
            <sz val="10"/>
            <color theme="1"/>
            <name val="Calibri"/>
            <family val="2"/>
            <scheme val="minor"/>
          </font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Estilo de Linha do Tempo 1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onnections" Target="connections.xml"/><Relationship Id="rId5" Type="http://schemas.openxmlformats.org/officeDocument/2006/relationships/pivotCacheDefinition" Target="pivotCache/pivotCacheDefinition1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11/relationships/timelineCache" Target="timelineCaches/timelineCache2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[Data_Base.xlsm]Planilha_sup!Tabela dinâmica2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Receita total por bloco de financiamento (trimestral)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2246249399537136E-3"/>
          <c:y val="0.40915462061918251"/>
          <c:w val="0.8687494938924224"/>
          <c:h val="0.4251750045272863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Planilha_sup!$B$3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Planilha_sup!$A$4:$A$14</c:f>
              <c:strCache>
                <c:ptCount val="10"/>
                <c:pt idx="0">
                  <c:v>Bloco da Gestão do Programa Bolsa Família e do Cadastro Único/IGD PROGRAMA AUXÍLIO BRASIL</c:v>
                </c:pt>
                <c:pt idx="1">
                  <c:v>Bloco da Proteção Social Básica/COMPONENTE - PBFI</c:v>
                </c:pt>
                <c:pt idx="2">
                  <c:v>Bloco da Proteção Social Básica/COMPONENTE - SCFV</c:v>
                </c:pt>
                <c:pt idx="3">
                  <c:v>Bloco da Proteção Social Básica/PSB - PORT 751-22</c:v>
                </c:pt>
                <c:pt idx="4">
                  <c:v>Bloco da Proteção Social Especial de Média Complexidade/COMPONENTE - PACI CRIANÇA ADOLESCEN</c:v>
                </c:pt>
                <c:pt idx="5">
                  <c:v>Bloco da Proteção Social Especial de Média Complexidade/COMPONENTE - PTMC</c:v>
                </c:pt>
                <c:pt idx="6">
                  <c:v>Bloco da Proteção Social Especial de Média Complexidade/PFMC - CREAS PAEFI</c:v>
                </c:pt>
                <c:pt idx="7">
                  <c:v>Bloco da Proteção Social Especial de Média Complexidade/PFMC - MSE</c:v>
                </c:pt>
                <c:pt idx="8">
                  <c:v>Bloco da Proteção Social Especial de Média Complexidade/PSE - PORT 751-22</c:v>
                </c:pt>
                <c:pt idx="9">
                  <c:v>Programas/SIGTV ESTRUTURAÇÃO INVESTIMENTO</c:v>
                </c:pt>
              </c:strCache>
            </c:strRef>
          </c:cat>
          <c:val>
            <c:numRef>
              <c:f>Planilha_sup!$B$4:$B$14</c:f>
              <c:numCache>
                <c:formatCode>"$"#.##000</c:formatCode>
                <c:ptCount val="10"/>
                <c:pt idx="0">
                  <c:v>17163.52</c:v>
                </c:pt>
                <c:pt idx="1">
                  <c:v>10785.93</c:v>
                </c:pt>
                <c:pt idx="2">
                  <c:v>9675.84</c:v>
                </c:pt>
                <c:pt idx="3">
                  <c:v>17400</c:v>
                </c:pt>
                <c:pt idx="4">
                  <c:v>2106.7600000000002</c:v>
                </c:pt>
                <c:pt idx="5">
                  <c:v>495.51</c:v>
                </c:pt>
                <c:pt idx="6">
                  <c:v>2738.79</c:v>
                </c:pt>
                <c:pt idx="7">
                  <c:v>926.98</c:v>
                </c:pt>
                <c:pt idx="8">
                  <c:v>14876</c:v>
                </c:pt>
                <c:pt idx="9">
                  <c:v>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AE-4AAD-8971-86953BEE845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49733439"/>
        <c:axId val="49749247"/>
      </c:barChart>
      <c:catAx>
        <c:axId val="497334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749247"/>
        <c:crosses val="autoZero"/>
        <c:auto val="1"/>
        <c:lblAlgn val="ctr"/>
        <c:lblOffset val="100"/>
        <c:noMultiLvlLbl val="0"/>
      </c:catAx>
      <c:valAx>
        <c:axId val="49749247"/>
        <c:scaling>
          <c:orientation val="minMax"/>
        </c:scaling>
        <c:delete val="1"/>
        <c:axPos val="l"/>
        <c:numFmt formatCode="&quot;$&quot;#.##000" sourceLinked="1"/>
        <c:majorTickMark val="out"/>
        <c:minorTickMark val="none"/>
        <c:tickLblPos val="nextTo"/>
        <c:crossAx val="497334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[Data_Base.xlsm]Planilha_sup!Tabela dinâmica4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Receita</a:t>
            </a:r>
            <a:r>
              <a:rPr lang="pt-BR" baseline="0"/>
              <a:t> total por Bloco de Financiamento (mensal)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Planilha_sup!$B$101:$B$102</c:f>
              <c:strCache>
                <c:ptCount val="1"/>
                <c:pt idx="0">
                  <c:v>mar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Planilha_sup!$A$103:$A$104</c:f>
              <c:strCache>
                <c:ptCount val="1"/>
                <c:pt idx="0">
                  <c:v>Bloco da Gestão do Programa Bolsa Família e do Cadastro Único/IGD PROGRAMA AUXÍLIO BRASIL</c:v>
                </c:pt>
              </c:strCache>
            </c:strRef>
          </c:cat>
          <c:val>
            <c:numRef>
              <c:f>Planilha_sup!$B$103:$B$104</c:f>
              <c:numCache>
                <c:formatCode>"$"#.##000</c:formatCode>
                <c:ptCount val="1"/>
                <c:pt idx="0">
                  <c:v>17163.52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1C-4CD2-A9DE-109500A3CD45}"/>
            </c:ext>
          </c:extLst>
        </c:ser>
        <c:ser>
          <c:idx val="1"/>
          <c:order val="1"/>
          <c:tx>
            <c:strRef>
              <c:f>Planilha_sup!$C$101:$C$102</c:f>
              <c:strCache>
                <c:ptCount val="1"/>
                <c:pt idx="0">
                  <c:v>abr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Planilha_sup!$A$103:$A$104</c:f>
              <c:strCache>
                <c:ptCount val="1"/>
                <c:pt idx="0">
                  <c:v>Bloco da Gestão do Programa Bolsa Família e do Cadastro Único/IGD PROGRAMA AUXÍLIO BRASIL</c:v>
                </c:pt>
              </c:strCache>
            </c:strRef>
          </c:cat>
          <c:val>
            <c:numRef>
              <c:f>Planilha_sup!$C$103:$C$104</c:f>
              <c:numCache>
                <c:formatCode>"$"#.##000</c:formatCode>
                <c:ptCount val="1"/>
                <c:pt idx="0">
                  <c:v>6674.7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5A-4BF6-A4B6-65BDED376883}"/>
            </c:ext>
          </c:extLst>
        </c:ser>
        <c:ser>
          <c:idx val="2"/>
          <c:order val="2"/>
          <c:tx>
            <c:strRef>
              <c:f>Planilha_sup!$D$101:$D$102</c:f>
              <c:strCache>
                <c:ptCount val="1"/>
                <c:pt idx="0">
                  <c:v>mai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Planilha_sup!$A$103:$A$104</c:f>
              <c:strCache>
                <c:ptCount val="1"/>
                <c:pt idx="0">
                  <c:v>Bloco da Gestão do Programa Bolsa Família e do Cadastro Único/IGD PROGRAMA AUXÍLIO BRASIL</c:v>
                </c:pt>
              </c:strCache>
            </c:strRef>
          </c:cat>
          <c:val>
            <c:numRef>
              <c:f>Planilha_sup!$D$103:$D$104</c:f>
              <c:numCache>
                <c:formatCode>"$"#.##000</c:formatCode>
                <c:ptCount val="1"/>
                <c:pt idx="0">
                  <c:v>6356.86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85A-4BF6-A4B6-65BDED376883}"/>
            </c:ext>
          </c:extLst>
        </c:ser>
        <c:ser>
          <c:idx val="3"/>
          <c:order val="3"/>
          <c:tx>
            <c:strRef>
              <c:f>Planilha_sup!$E$101:$E$102</c:f>
              <c:strCache>
                <c:ptCount val="1"/>
                <c:pt idx="0">
                  <c:v>jun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Planilha_sup!$A$103:$A$104</c:f>
              <c:strCache>
                <c:ptCount val="1"/>
                <c:pt idx="0">
                  <c:v>Bloco da Gestão do Programa Bolsa Família e do Cadastro Único/IGD PROGRAMA AUXÍLIO BRASIL</c:v>
                </c:pt>
              </c:strCache>
            </c:strRef>
          </c:cat>
          <c:val>
            <c:numRef>
              <c:f>Planilha_sup!$E$103:$E$104</c:f>
              <c:numCache>
                <c:formatCode>"$"#.##000</c:formatCode>
                <c:ptCount val="1"/>
                <c:pt idx="0">
                  <c:v>6356.86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85A-4BF6-A4B6-65BDED376883}"/>
            </c:ext>
          </c:extLst>
        </c:ser>
        <c:ser>
          <c:idx val="4"/>
          <c:order val="4"/>
          <c:tx>
            <c:strRef>
              <c:f>Planilha_sup!$F$101:$F$102</c:f>
              <c:strCache>
                <c:ptCount val="1"/>
                <c:pt idx="0">
                  <c:v>jul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Planilha_sup!$A$103:$A$104</c:f>
              <c:strCache>
                <c:ptCount val="1"/>
                <c:pt idx="0">
                  <c:v>Bloco da Gestão do Programa Bolsa Família e do Cadastro Único/IGD PROGRAMA AUXÍLIO BRASIL</c:v>
                </c:pt>
              </c:strCache>
            </c:strRef>
          </c:cat>
          <c:val>
            <c:numRef>
              <c:f>Planilha_sup!$F$103:$F$104</c:f>
              <c:numCache>
                <c:formatCode>"$"#.##000</c:formatCode>
                <c:ptCount val="1"/>
                <c:pt idx="0">
                  <c:v>11748.17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85A-4BF6-A4B6-65BDED37688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49763391"/>
        <c:axId val="49764223"/>
      </c:barChart>
      <c:catAx>
        <c:axId val="49763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764223"/>
        <c:crosses val="autoZero"/>
        <c:auto val="1"/>
        <c:lblAlgn val="ctr"/>
        <c:lblOffset val="100"/>
        <c:noMultiLvlLbl val="0"/>
      </c:catAx>
      <c:valAx>
        <c:axId val="49764223"/>
        <c:scaling>
          <c:orientation val="minMax"/>
        </c:scaling>
        <c:delete val="1"/>
        <c:axPos val="l"/>
        <c:numFmt formatCode="&quot;$&quot;#.##000" sourceLinked="1"/>
        <c:majorTickMark val="none"/>
        <c:minorTickMark val="none"/>
        <c:tickLblPos val="nextTo"/>
        <c:crossAx val="4976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1</xdr:row>
      <xdr:rowOff>38100</xdr:rowOff>
    </xdr:from>
    <xdr:to>
      <xdr:col>3</xdr:col>
      <xdr:colOff>722659</xdr:colOff>
      <xdr:row>14</xdr:row>
      <xdr:rowOff>104775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E12D8B7-1624-417B-8BA4-675F862D9D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698" t="29888" r="32951" b="28719"/>
        <a:stretch/>
      </xdr:blipFill>
      <xdr:spPr>
        <a:xfrm>
          <a:off x="200025" y="228600"/>
          <a:ext cx="2351434" cy="2543175"/>
        </a:xfrm>
        <a:prstGeom prst="rect">
          <a:avLst/>
        </a:prstGeom>
      </xdr:spPr>
    </xdr:pic>
    <xdr:clientData/>
  </xdr:twoCellAnchor>
  <xdr:twoCellAnchor>
    <xdr:from>
      <xdr:col>4</xdr:col>
      <xdr:colOff>171450</xdr:colOff>
      <xdr:row>8</xdr:row>
      <xdr:rowOff>147636</xdr:rowOff>
    </xdr:from>
    <xdr:to>
      <xdr:col>28</xdr:col>
      <xdr:colOff>247650</xdr:colOff>
      <xdr:row>25</xdr:row>
      <xdr:rowOff>114300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6FE110D2-07C6-3FEB-5996-81637D9233FB}"/>
            </a:ext>
          </a:extLst>
        </xdr:cNvPr>
        <xdr:cNvGrpSpPr/>
      </xdr:nvGrpSpPr>
      <xdr:grpSpPr>
        <a:xfrm>
          <a:off x="2943225" y="1671636"/>
          <a:ext cx="14849475" cy="3205164"/>
          <a:chOff x="2929937" y="1575043"/>
          <a:chExt cx="11287126" cy="2694932"/>
        </a:xfrm>
      </xdr:grpSpPr>
      <xdr:graphicFrame macro="">
        <xdr:nvGraphicFramePr>
          <xdr:cNvPr id="5" name="Gráfico 4">
            <a:extLst>
              <a:ext uri="{FF2B5EF4-FFF2-40B4-BE49-F238E27FC236}">
                <a16:creationId xmlns:a16="http://schemas.microsoft.com/office/drawing/2014/main" id="{D70F1F22-BDCB-4542-8E8A-6EE8093E6F38}"/>
              </a:ext>
            </a:extLst>
          </xdr:cNvPr>
          <xdr:cNvGraphicFramePr>
            <a:graphicFrameLocks/>
          </xdr:cNvGraphicFramePr>
        </xdr:nvGraphicFramePr>
        <xdr:xfrm>
          <a:off x="2929937" y="1575043"/>
          <a:ext cx="11287126" cy="26949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6" name="Data Pagamento">
                <a:extLst>
                  <a:ext uri="{FF2B5EF4-FFF2-40B4-BE49-F238E27FC236}">
                    <a16:creationId xmlns:a16="http://schemas.microsoft.com/office/drawing/2014/main" id="{C0BE4510-90C4-4A14-A7DE-BB9A43DE47C7}"/>
                  </a:ext>
                </a:extLst>
              </xdr:cNvPr>
              <xdr:cNvGraphicFramePr/>
            </xdr:nvGraphicFramePr>
            <xdr:xfrm>
              <a:off x="3022089" y="1652832"/>
              <a:ext cx="1216394" cy="711070"/>
            </xdr:xfrm>
            <a:graphic>
              <a:graphicData uri="http://schemas.microsoft.com/office/drawing/2012/timeslicer">
                <tsle:timeslicer name="Data Pagament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63295" y="1764153"/>
                <a:ext cx="1584905" cy="845697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Linha do tempo: Funciona em Excel 2013 ou superior. Não mover ou redimensionar.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24</xdr:col>
      <xdr:colOff>161926</xdr:colOff>
      <xdr:row>0</xdr:row>
      <xdr:rowOff>76200</xdr:rowOff>
    </xdr:from>
    <xdr:to>
      <xdr:col>28</xdr:col>
      <xdr:colOff>44851</xdr:colOff>
      <xdr:row>7</xdr:row>
      <xdr:rowOff>152400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4A46B65A-43F8-CAE2-E7EE-C6EABC6811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400" t="23200" r="6800" b="26000"/>
        <a:stretch/>
      </xdr:blipFill>
      <xdr:spPr>
        <a:xfrm>
          <a:off x="15125701" y="76200"/>
          <a:ext cx="2464200" cy="1409700"/>
        </a:xfrm>
        <a:prstGeom prst="rect">
          <a:avLst/>
        </a:prstGeom>
      </xdr:spPr>
    </xdr:pic>
    <xdr:clientData/>
  </xdr:twoCellAnchor>
  <xdr:twoCellAnchor>
    <xdr:from>
      <xdr:col>4</xdr:col>
      <xdr:colOff>161923</xdr:colOff>
      <xdr:row>26</xdr:row>
      <xdr:rowOff>128586</xdr:rowOff>
    </xdr:from>
    <xdr:to>
      <xdr:col>24</xdr:col>
      <xdr:colOff>714375</xdr:colOff>
      <xdr:row>45</xdr:row>
      <xdr:rowOff>38100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57A58CAC-0462-478E-8EDF-B29A143A1D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0</xdr:colOff>
      <xdr:row>26</xdr:row>
      <xdr:rowOff>9526</xdr:rowOff>
    </xdr:from>
    <xdr:to>
      <xdr:col>4</xdr:col>
      <xdr:colOff>0</xdr:colOff>
      <xdr:row>44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Programa/Piso">
              <a:extLst>
                <a:ext uri="{FF2B5EF4-FFF2-40B4-BE49-F238E27FC236}">
                  <a16:creationId xmlns:a16="http://schemas.microsoft.com/office/drawing/2014/main" id="{A448A57E-47C7-497B-A370-4A168771EA3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grama/Pis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962526"/>
              <a:ext cx="2771775" cy="35909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552450</xdr:colOff>
      <xdr:row>26</xdr:row>
      <xdr:rowOff>180975</xdr:rowOff>
    </xdr:from>
    <xdr:to>
      <xdr:col>24</xdr:col>
      <xdr:colOff>581025</xdr:colOff>
      <xdr:row>31</xdr:row>
      <xdr:rowOff>152400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a Pagamento 1">
              <a:extLst>
                <a:ext uri="{FF2B5EF4-FFF2-40B4-BE49-F238E27FC236}">
                  <a16:creationId xmlns:a16="http://schemas.microsoft.com/office/drawing/2014/main" id="{FF3B139A-C8A4-2807-C813-D80A8A1C96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Pagamen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077825" y="5133975"/>
              <a:ext cx="2466975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25</xdr:col>
      <xdr:colOff>66676</xdr:colOff>
      <xdr:row>29</xdr:row>
      <xdr:rowOff>133350</xdr:rowOff>
    </xdr:from>
    <xdr:to>
      <xdr:col>28</xdr:col>
      <xdr:colOff>342900</xdr:colOff>
      <xdr:row>37</xdr:row>
      <xdr:rowOff>95250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B6843D59-5A1B-9891-3895-BFAA715CA68C}"/>
            </a:ext>
          </a:extLst>
        </xdr:cNvPr>
        <xdr:cNvGrpSpPr/>
      </xdr:nvGrpSpPr>
      <xdr:grpSpPr>
        <a:xfrm>
          <a:off x="15782926" y="5657850"/>
          <a:ext cx="2105024" cy="1485900"/>
          <a:chOff x="14735176" y="5600700"/>
          <a:chExt cx="2105024" cy="1485900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75C6E21A-C338-7E23-7A58-2B8CA66850C2}"/>
              </a:ext>
            </a:extLst>
          </xdr:cNvPr>
          <xdr:cNvSpPr/>
        </xdr:nvSpPr>
        <xdr:spPr>
          <a:xfrm>
            <a:off x="14830425" y="5600700"/>
            <a:ext cx="1943100" cy="1485900"/>
          </a:xfrm>
          <a:prstGeom prst="rect">
            <a:avLst/>
          </a:prstGeom>
          <a:solidFill>
            <a:schemeClr val="bg1">
              <a:lumMod val="50000"/>
              <a:alpha val="57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" name="CaixaDeTexto 6">
            <a:extLst>
              <a:ext uri="{FF2B5EF4-FFF2-40B4-BE49-F238E27FC236}">
                <a16:creationId xmlns:a16="http://schemas.microsoft.com/office/drawing/2014/main" id="{B883D0F0-177A-5141-BCD0-E27C3FB476EE}"/>
              </a:ext>
            </a:extLst>
          </xdr:cNvPr>
          <xdr:cNvSpPr txBox="1"/>
        </xdr:nvSpPr>
        <xdr:spPr>
          <a:xfrm>
            <a:off x="15154275" y="5695950"/>
            <a:ext cx="1295400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800" b="0">
                <a:ln>
                  <a:noFill/>
                </a:ln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t>Receita</a:t>
            </a:r>
          </a:p>
        </xdr:txBody>
      </xdr:sp>
      <xdr:sp macro="" textlink="$Y$39">
        <xdr:nvSpPr>
          <xdr:cNvPr id="17" name="CaixaDeTexto 16">
            <a:extLst>
              <a:ext uri="{FF2B5EF4-FFF2-40B4-BE49-F238E27FC236}">
                <a16:creationId xmlns:a16="http://schemas.microsoft.com/office/drawing/2014/main" id="{BE5771C6-5A0F-4774-9C6D-485E980895F2}"/>
              </a:ext>
            </a:extLst>
          </xdr:cNvPr>
          <xdr:cNvSpPr txBox="1"/>
        </xdr:nvSpPr>
        <xdr:spPr>
          <a:xfrm>
            <a:off x="14735176" y="6067425"/>
            <a:ext cx="2105024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C276EB4-0FF8-4DB4-A96C-439EBEB2FC9B}" type="TxLink">
              <a:rPr lang="en-US" sz="2200" b="0" i="0" u="none" strike="noStrike">
                <a:ln>
                  <a:noFill/>
                </a:ln>
                <a:solidFill>
                  <a:srgbClr val="000000"/>
                </a:solidFill>
                <a:latin typeface="Ebrima" panose="02000000000000000000" pitchFamily="2" charset="0"/>
                <a:ea typeface="Ebrima" panose="02000000000000000000" pitchFamily="2" charset="0"/>
                <a:cs typeface="Ebrima" panose="02000000000000000000" pitchFamily="2" charset="0"/>
              </a:rPr>
              <a:pPr algn="ctr"/>
              <a:t>R$48.300,11</a:t>
            </a:fld>
            <a:endParaRPr lang="pt-BR" sz="2200" b="1">
              <a:ln>
                <a:noFill/>
              </a:ln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endParaRPr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56DD2A27-6FFC-4619-9496-C7F3C401A54F}"/>
              </a:ext>
            </a:extLst>
          </xdr:cNvPr>
          <xdr:cNvSpPr txBox="1"/>
        </xdr:nvSpPr>
        <xdr:spPr>
          <a:xfrm>
            <a:off x="14744700" y="6505575"/>
            <a:ext cx="2057401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900" b="0">
                <a:ln>
                  <a:noFill/>
                </a:ln>
              </a:rPr>
              <a:t>Fundo</a:t>
            </a:r>
            <a:r>
              <a:rPr lang="pt-BR" sz="900" b="0" baseline="0">
                <a:ln>
                  <a:noFill/>
                </a:ln>
              </a:rPr>
              <a:t> Municipal de Assistênica Social</a:t>
            </a:r>
            <a:endParaRPr lang="pt-BR" sz="900" b="0">
              <a:ln>
                <a:noFill/>
              </a:ln>
            </a:endParaRPr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2E93D7BB-1BDD-4609-8750-AC441C5B6A37}"/>
              </a:ext>
            </a:extLst>
          </xdr:cNvPr>
          <xdr:cNvSpPr txBox="1"/>
        </xdr:nvSpPr>
        <xdr:spPr>
          <a:xfrm>
            <a:off x="14830425" y="6753225"/>
            <a:ext cx="20097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900" b="0">
                <a:ln>
                  <a:noFill/>
                </a:ln>
              </a:rPr>
              <a:t>14.345.608/0001-62</a:t>
            </a:r>
          </a:p>
        </xdr:txBody>
      </xdr:sp>
    </xdr:grpSp>
    <xdr:clientData/>
  </xdr:twoCellAnchor>
  <xdr:twoCellAnchor>
    <xdr:from>
      <xdr:col>3</xdr:col>
      <xdr:colOff>876300</xdr:colOff>
      <xdr:row>0</xdr:row>
      <xdr:rowOff>161925</xdr:rowOff>
    </xdr:from>
    <xdr:to>
      <xdr:col>8</xdr:col>
      <xdr:colOff>371475</xdr:colOff>
      <xdr:row>2</xdr:row>
      <xdr:rowOff>57150</xdr:rowOff>
    </xdr:to>
    <xdr:sp macro="[1]!Att_dados" textlink="">
      <xdr:nvSpPr>
        <xdr:cNvPr id="20" name="CaixaDeTexto 19">
          <a:extLst>
            <a:ext uri="{FF2B5EF4-FFF2-40B4-BE49-F238E27FC236}">
              <a16:creationId xmlns:a16="http://schemas.microsoft.com/office/drawing/2014/main" id="{1E5F75C2-A2F9-41ED-B6F0-831BDD929338}"/>
            </a:ext>
          </a:extLst>
        </xdr:cNvPr>
        <xdr:cNvSpPr txBox="1"/>
      </xdr:nvSpPr>
      <xdr:spPr>
        <a:xfrm>
          <a:off x="2705100" y="161925"/>
          <a:ext cx="2876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0">
              <a:ln>
                <a:noFill/>
              </a:ln>
              <a:solidFill>
                <a:srgbClr val="FF0000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Atualização Dashboard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lha1"/>
    </sheetNames>
    <definedNames>
      <definedName name="Att_dados"/>
    </defined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scritorio" refreshedDate="44780.76340891204" createdVersion="8" refreshedVersion="8" minRefreshableVersion="3" recordCount="34" xr:uid="{390E7172-3D57-44B4-A509-47427285C1D7}">
  <cacheSource type="worksheet">
    <worksheetSource name="Data_Base"/>
  </cacheSource>
  <cacheFields count="5">
    <cacheField name="Column1" numFmtId="0">
      <sharedItems containsSemiMixedTypes="0" containsString="0" containsNumber="1" containsInteger="1" minValue="0" maxValue="33"/>
    </cacheField>
    <cacheField name="Programa/Piso" numFmtId="0">
      <sharedItems count="11">
        <s v="Programas/SIGTV ESTRUTURAÇÃO INVESTIMENTO"/>
        <s v="Bloco da Proteção Social Especial de Média Complexidade/COMPONENTE - PTMC"/>
        <s v="Bloco da Proteção Social Especial de Média Complexidade/PFMC - MSE"/>
        <s v="Bloco da Proteção Social Básica/COMPONENTE - SCFV"/>
        <s v="Bloco da Proteção Social Básica/COMPONENTE - PBFI"/>
        <s v="Bloco da Gestão do Programa Bolsa Família e do Cadastro Único/IGD PROGRAMA AUXÍLIO BRASIL"/>
        <s v="Bloco da Proteção Social Especial de Média Complexidade/PFMC - CREAS PAEFI"/>
        <s v="Bloco da Proteção Social Especial de Média Complexidade/COMPONENTE - PACI CRIANÇA ADOLESCEN"/>
        <s v="Bloco da Proteção Social Básica/PSB - PORT 751-22"/>
        <s v="Bloco da Proteção Social Especial de Média Complexidade/PSE - PORT 751-22"/>
        <s v="Bloco da Gestão do SUAS/IGD-SUAS"/>
      </sharedItems>
    </cacheField>
    <cacheField name="Data Pagamento" numFmtId="14">
      <sharedItems containsSemiMixedTypes="0" containsNonDate="0" containsDate="1" containsString="0" minDate="2022-02-21T00:00:00" maxDate="2022-07-29T00:00:00" count="17">
        <d v="2022-02-21T00:00:00"/>
        <d v="2022-04-18T00:00:00"/>
        <d v="2022-03-16T00:00:00"/>
        <d v="2022-05-31T00:00:00"/>
        <d v="2022-03-30T00:00:00"/>
        <d v="2022-07-28T00:00:00"/>
        <d v="2022-04-07T00:00:00"/>
        <d v="2022-05-11T00:00:00"/>
        <d v="2022-06-03T00:00:00"/>
        <d v="2022-04-04T00:00:00"/>
        <d v="2022-04-05T00:00:00"/>
        <d v="2022-05-16T00:00:00"/>
        <d v="2022-04-01T00:00:00"/>
        <d v="2022-06-02T00:00:00"/>
        <d v="2022-03-04T00:00:00"/>
        <d v="2022-03-21T00:00:00"/>
        <d v="2022-07-14T00:00:00"/>
      </sharedItems>
      <fieldGroup par="4" base="2">
        <rangePr groupBy="days" startDate="2022-02-21T00:00:00" endDate="2022-07-29T00:00:00"/>
        <groupItems count="368">
          <s v="&lt;21/02/2022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29/07/2022"/>
        </groupItems>
      </fieldGroup>
    </cacheField>
    <cacheField name="Valor" numFmtId="164">
      <sharedItems containsSemiMixedTypes="0" containsString="0" containsNumber="1" minValue="495.51" maxValue="500000"/>
    </cacheField>
    <cacheField name="Meses" numFmtId="0" databaseField="0">
      <fieldGroup base="2">
        <rangePr groupBy="months" startDate="2022-02-21T00:00:00" endDate="2022-07-29T00:00:00"/>
        <groupItems count="14">
          <s v="&lt;21/02/2022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9/07/2022"/>
        </groupItems>
      </fieldGroup>
    </cacheField>
  </cacheFields>
  <extLst>
    <ext xmlns:x14="http://schemas.microsoft.com/office/spreadsheetml/2009/9/main" uri="{725AE2AE-9491-48be-B2B4-4EB974FC3084}">
      <x14:pivotCacheDefinition pivotCacheId="155624444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scritorio" refreshedDate="44780.763409143517" createdVersion="8" refreshedVersion="8" minRefreshableVersion="3" recordCount="34" xr:uid="{73CD0277-C727-48D2-9965-E728FCFDA09E}">
  <cacheSource type="worksheet">
    <worksheetSource name="Data_Base"/>
  </cacheSource>
  <cacheFields count="5">
    <cacheField name="Column1" numFmtId="0">
      <sharedItems containsSemiMixedTypes="0" containsString="0" containsNumber="1" containsInteger="1" minValue="0" maxValue="33"/>
    </cacheField>
    <cacheField name="Programa/Piso" numFmtId="0">
      <sharedItems count="11">
        <s v="Programas/SIGTV ESTRUTURAÇÃO INVESTIMENTO"/>
        <s v="Bloco da Proteção Social Especial de Média Complexidade/COMPONENTE - PTMC"/>
        <s v="Bloco da Proteção Social Especial de Média Complexidade/PFMC - MSE"/>
        <s v="Bloco da Proteção Social Básica/COMPONENTE - SCFV"/>
        <s v="Bloco da Proteção Social Básica/COMPONENTE - PBFI"/>
        <s v="Bloco da Gestão do Programa Bolsa Família e do Cadastro Único/IGD PROGRAMA AUXÍLIO BRASIL"/>
        <s v="Bloco da Proteção Social Especial de Média Complexidade/PFMC - CREAS PAEFI"/>
        <s v="Bloco da Proteção Social Especial de Média Complexidade/COMPONENTE - PACI CRIANÇA ADOLESCEN"/>
        <s v="Bloco da Proteção Social Básica/PSB - PORT 751-22"/>
        <s v="Bloco da Proteção Social Especial de Média Complexidade/PSE - PORT 751-22"/>
        <s v="Bloco da Gestão do SUAS/IGD-SUAS"/>
      </sharedItems>
    </cacheField>
    <cacheField name="Data Pagamento" numFmtId="14">
      <sharedItems containsSemiMixedTypes="0" containsNonDate="0" containsDate="1" containsString="0" minDate="2022-02-21T00:00:00" maxDate="2022-07-29T00:00:00" count="17">
        <d v="2022-02-21T00:00:00"/>
        <d v="2022-04-18T00:00:00"/>
        <d v="2022-03-16T00:00:00"/>
        <d v="2022-05-31T00:00:00"/>
        <d v="2022-03-30T00:00:00"/>
        <d v="2022-07-28T00:00:00"/>
        <d v="2022-04-07T00:00:00"/>
        <d v="2022-05-11T00:00:00"/>
        <d v="2022-06-03T00:00:00"/>
        <d v="2022-04-04T00:00:00"/>
        <d v="2022-04-05T00:00:00"/>
        <d v="2022-05-16T00:00:00"/>
        <d v="2022-04-01T00:00:00"/>
        <d v="2022-06-02T00:00:00"/>
        <d v="2022-03-04T00:00:00"/>
        <d v="2022-03-21T00:00:00"/>
        <d v="2022-07-14T00:00:00"/>
      </sharedItems>
      <fieldGroup par="4" base="2">
        <rangePr groupBy="days" startDate="2022-02-21T00:00:00" endDate="2022-07-29T00:00:00"/>
        <groupItems count="368">
          <s v="&lt;21/02/2022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29/07/2022"/>
        </groupItems>
      </fieldGroup>
    </cacheField>
    <cacheField name="Valor" numFmtId="164">
      <sharedItems containsSemiMixedTypes="0" containsString="0" containsNumber="1" minValue="495.51" maxValue="500000"/>
    </cacheField>
    <cacheField name="Meses" numFmtId="0" databaseField="0">
      <fieldGroup base="2">
        <rangePr groupBy="months" startDate="2022-02-21T00:00:00" endDate="2022-07-29T00:00:00"/>
        <groupItems count="14">
          <s v="&lt;21/02/2022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9/07/2022"/>
        </groupItems>
      </fieldGroup>
    </cacheField>
  </cacheFields>
  <extLst>
    <ext xmlns:x14="http://schemas.microsoft.com/office/spreadsheetml/2009/9/main" uri="{725AE2AE-9491-48be-B2B4-4EB974FC3084}">
      <x14:pivotCacheDefinition pivotCacheId="87354226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n v="5"/>
    <x v="0"/>
    <x v="0"/>
    <n v="500000"/>
  </r>
  <r>
    <n v="7"/>
    <x v="1"/>
    <x v="1"/>
    <n v="984.61"/>
  </r>
  <r>
    <n v="24"/>
    <x v="2"/>
    <x v="2"/>
    <n v="926.98"/>
  </r>
  <r>
    <n v="8"/>
    <x v="1"/>
    <x v="3"/>
    <n v="920.52"/>
  </r>
  <r>
    <n v="10"/>
    <x v="3"/>
    <x v="4"/>
    <n v="9675.84"/>
  </r>
  <r>
    <n v="4"/>
    <x v="4"/>
    <x v="5"/>
    <n v="7059.04"/>
  </r>
  <r>
    <n v="15"/>
    <x v="5"/>
    <x v="6"/>
    <n v="6674.7"/>
  </r>
  <r>
    <n v="16"/>
    <x v="5"/>
    <x v="7"/>
    <n v="6356.86"/>
  </r>
  <r>
    <n v="17"/>
    <x v="5"/>
    <x v="8"/>
    <n v="6356.86"/>
  </r>
  <r>
    <n v="12"/>
    <x v="3"/>
    <x v="3"/>
    <n v="6224.28"/>
  </r>
  <r>
    <n v="21"/>
    <x v="6"/>
    <x v="9"/>
    <n v="5442.15"/>
  </r>
  <r>
    <n v="22"/>
    <x v="6"/>
    <x v="3"/>
    <n v="5087.88"/>
  </r>
  <r>
    <n v="6"/>
    <x v="1"/>
    <x v="2"/>
    <n v="495.51"/>
  </r>
  <r>
    <n v="31"/>
    <x v="7"/>
    <x v="10"/>
    <n v="4186.2700000000004"/>
  </r>
  <r>
    <n v="32"/>
    <x v="7"/>
    <x v="3"/>
    <n v="3913.75"/>
  </r>
  <r>
    <n v="1"/>
    <x v="4"/>
    <x v="9"/>
    <n v="3501.25"/>
  </r>
  <r>
    <n v="2"/>
    <x v="4"/>
    <x v="11"/>
    <n v="3486.63"/>
  </r>
  <r>
    <n v="11"/>
    <x v="3"/>
    <x v="12"/>
    <n v="3159.21"/>
  </r>
  <r>
    <n v="20"/>
    <x v="6"/>
    <x v="2"/>
    <n v="2738.79"/>
  </r>
  <r>
    <n v="3"/>
    <x v="4"/>
    <x v="13"/>
    <n v="2685.54"/>
  </r>
  <r>
    <n v="30"/>
    <x v="7"/>
    <x v="2"/>
    <n v="2106.7600000000002"/>
  </r>
  <r>
    <n v="28"/>
    <x v="8"/>
    <x v="14"/>
    <n v="17400"/>
  </r>
  <r>
    <n v="14"/>
    <x v="5"/>
    <x v="15"/>
    <n v="17163.52"/>
  </r>
  <r>
    <n v="29"/>
    <x v="9"/>
    <x v="14"/>
    <n v="14876"/>
  </r>
  <r>
    <n v="18"/>
    <x v="5"/>
    <x v="5"/>
    <n v="11748.17"/>
  </r>
  <r>
    <n v="0"/>
    <x v="4"/>
    <x v="4"/>
    <n v="10785.93"/>
  </r>
  <r>
    <n v="25"/>
    <x v="2"/>
    <x v="1"/>
    <n v="1841.96"/>
  </r>
  <r>
    <n v="26"/>
    <x v="2"/>
    <x v="3"/>
    <n v="1722.05"/>
  </r>
  <r>
    <n v="9"/>
    <x v="1"/>
    <x v="5"/>
    <n v="991.44"/>
  </r>
  <r>
    <n v="13"/>
    <x v="3"/>
    <x v="5"/>
    <n v="5947.26"/>
  </r>
  <r>
    <n v="23"/>
    <x v="6"/>
    <x v="5"/>
    <n v="5479.87"/>
  </r>
  <r>
    <n v="33"/>
    <x v="7"/>
    <x v="5"/>
    <n v="4215.28"/>
  </r>
  <r>
    <n v="27"/>
    <x v="2"/>
    <x v="5"/>
    <n v="1854.72"/>
  </r>
  <r>
    <n v="19"/>
    <x v="10"/>
    <x v="16"/>
    <n v="90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n v="5"/>
    <x v="0"/>
    <x v="0"/>
    <n v="500000"/>
  </r>
  <r>
    <n v="7"/>
    <x v="1"/>
    <x v="1"/>
    <n v="984.61"/>
  </r>
  <r>
    <n v="24"/>
    <x v="2"/>
    <x v="2"/>
    <n v="926.98"/>
  </r>
  <r>
    <n v="8"/>
    <x v="1"/>
    <x v="3"/>
    <n v="920.52"/>
  </r>
  <r>
    <n v="10"/>
    <x v="3"/>
    <x v="4"/>
    <n v="9675.84"/>
  </r>
  <r>
    <n v="4"/>
    <x v="4"/>
    <x v="5"/>
    <n v="7059.04"/>
  </r>
  <r>
    <n v="15"/>
    <x v="5"/>
    <x v="6"/>
    <n v="6674.7"/>
  </r>
  <r>
    <n v="16"/>
    <x v="5"/>
    <x v="7"/>
    <n v="6356.86"/>
  </r>
  <r>
    <n v="17"/>
    <x v="5"/>
    <x v="8"/>
    <n v="6356.86"/>
  </r>
  <r>
    <n v="12"/>
    <x v="3"/>
    <x v="3"/>
    <n v="6224.28"/>
  </r>
  <r>
    <n v="21"/>
    <x v="6"/>
    <x v="9"/>
    <n v="5442.15"/>
  </r>
  <r>
    <n v="22"/>
    <x v="6"/>
    <x v="3"/>
    <n v="5087.88"/>
  </r>
  <r>
    <n v="6"/>
    <x v="1"/>
    <x v="2"/>
    <n v="495.51"/>
  </r>
  <r>
    <n v="31"/>
    <x v="7"/>
    <x v="10"/>
    <n v="4186.2700000000004"/>
  </r>
  <r>
    <n v="32"/>
    <x v="7"/>
    <x v="3"/>
    <n v="3913.75"/>
  </r>
  <r>
    <n v="1"/>
    <x v="4"/>
    <x v="9"/>
    <n v="3501.25"/>
  </r>
  <r>
    <n v="2"/>
    <x v="4"/>
    <x v="11"/>
    <n v="3486.63"/>
  </r>
  <r>
    <n v="11"/>
    <x v="3"/>
    <x v="12"/>
    <n v="3159.21"/>
  </r>
  <r>
    <n v="20"/>
    <x v="6"/>
    <x v="2"/>
    <n v="2738.79"/>
  </r>
  <r>
    <n v="3"/>
    <x v="4"/>
    <x v="13"/>
    <n v="2685.54"/>
  </r>
  <r>
    <n v="30"/>
    <x v="7"/>
    <x v="2"/>
    <n v="2106.7600000000002"/>
  </r>
  <r>
    <n v="28"/>
    <x v="8"/>
    <x v="14"/>
    <n v="17400"/>
  </r>
  <r>
    <n v="14"/>
    <x v="5"/>
    <x v="15"/>
    <n v="17163.52"/>
  </r>
  <r>
    <n v="29"/>
    <x v="9"/>
    <x v="14"/>
    <n v="14876"/>
  </r>
  <r>
    <n v="18"/>
    <x v="5"/>
    <x v="5"/>
    <n v="11748.17"/>
  </r>
  <r>
    <n v="0"/>
    <x v="4"/>
    <x v="4"/>
    <n v="10785.93"/>
  </r>
  <r>
    <n v="25"/>
    <x v="2"/>
    <x v="1"/>
    <n v="1841.96"/>
  </r>
  <r>
    <n v="26"/>
    <x v="2"/>
    <x v="3"/>
    <n v="1722.05"/>
  </r>
  <r>
    <n v="9"/>
    <x v="1"/>
    <x v="5"/>
    <n v="991.44"/>
  </r>
  <r>
    <n v="13"/>
    <x v="3"/>
    <x v="5"/>
    <n v="5947.26"/>
  </r>
  <r>
    <n v="23"/>
    <x v="6"/>
    <x v="5"/>
    <n v="5479.87"/>
  </r>
  <r>
    <n v="33"/>
    <x v="7"/>
    <x v="5"/>
    <n v="4215.28"/>
  </r>
  <r>
    <n v="27"/>
    <x v="2"/>
    <x v="5"/>
    <n v="1854.72"/>
  </r>
  <r>
    <n v="19"/>
    <x v="10"/>
    <x v="16"/>
    <n v="9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2E0C2D-7381-459B-9399-1029201E00A7}" name="Tabela dinâmica4" cacheId="3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3">
  <location ref="A101:G104" firstHeaderRow="1" firstDataRow="2" firstDataCol="1"/>
  <pivotFields count="5">
    <pivotField showAll="0"/>
    <pivotField axis="axisRow" showAll="0">
      <items count="12">
        <item x="5"/>
        <item h="1" x="10"/>
        <item h="1" x="4"/>
        <item h="1" x="3"/>
        <item h="1" x="8"/>
        <item h="1" x="7"/>
        <item h="1" x="1"/>
        <item h="1" x="6"/>
        <item h="1" x="2"/>
        <item h="1" x="9"/>
        <item h="1" x="0"/>
        <item t="default"/>
      </items>
    </pivotField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numFmtId="164"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"/>
  </rowFields>
  <rowItems count="2">
    <i>
      <x/>
    </i>
    <i t="grand">
      <x/>
    </i>
  </rowItems>
  <colFields count="1">
    <field x="4"/>
  </colFields>
  <colItems count="6">
    <i>
      <x v="3"/>
    </i>
    <i>
      <x v="4"/>
    </i>
    <i>
      <x v="5"/>
    </i>
    <i>
      <x v="6"/>
    </i>
    <i>
      <x v="7"/>
    </i>
    <i t="grand">
      <x/>
    </i>
  </colItems>
  <dataFields count="1">
    <dataField name="Soma de Valor" fld="3" baseField="0" baseItem="0" numFmtId="164"/>
  </dataFields>
  <formats count="1">
    <format dxfId="3">
      <pivotArea outline="0" collapsedLevelsAreSubtotals="1" fieldPosition="0"/>
    </format>
  </formats>
  <chartFormats count="1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dateBetween" evalOrder="-1" id="42" name="Data Pagamento">
      <autoFilter ref="A1">
        <filterColumn colId="0">
          <customFilters and="1">
            <customFilter operator="greaterThanOrEqual" val="44562"/>
            <customFilter operator="lessThanOrEqual" val="44804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88DD64-CF95-42A1-8875-DD0190A1A0C0}" name="Tabela dinâmica2" cacheId="2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4">
  <location ref="A3:B14" firstHeaderRow="1" firstDataRow="1" firstDataCol="1" rowPageCount="1" colPageCount="1"/>
  <pivotFields count="5">
    <pivotField showAll="0"/>
    <pivotField axis="axisRow" showAll="0">
      <items count="12">
        <item x="5"/>
        <item x="10"/>
        <item x="4"/>
        <item x="3"/>
        <item x="8"/>
        <item x="7"/>
        <item x="1"/>
        <item x="6"/>
        <item x="2"/>
        <item x="9"/>
        <item x="0"/>
        <item t="default"/>
      </items>
    </pivotField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numFmtId="164" showAll="0"/>
    <pivotField axis="axisPage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"/>
  </rowFields>
  <rowItems count="1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pageFields count="1">
    <pageField fld="4" hier="-1"/>
  </pageFields>
  <dataFields count="1">
    <dataField name="Soma de Valor" fld="3" baseField="0" baseItem="0" numFmtId="164"/>
  </dataFields>
  <formats count="1">
    <format dxfId="4">
      <pivotArea outline="0" collapsedLevelsAreSubtotals="1" fieldPosition="0"/>
    </format>
  </formats>
  <chartFormats count="1">
    <chartFormat chart="2" format="4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dateBetween" evalOrder="-1" id="102" name="Data Pagamento">
      <autoFilter ref="A1">
        <filterColumn colId="0">
          <customFilters and="1">
            <customFilter operator="greaterThanOrEqual" val="44562"/>
            <customFilter operator="lessThanOrEqual" val="4465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A34E1698-D0C9-4446-9BD0-59F1290020EC}" autoFormatId="16" applyNumberFormats="0" applyBorderFormats="0" applyFontFormats="0" applyPatternFormats="0" applyAlignmentFormats="0" applyWidthHeightFormats="0">
  <queryTableRefresh nextId="5">
    <queryTableFields count="4">
      <queryTableField id="1" name="Column1" tableColumnId="1"/>
      <queryTableField id="2" name="Programa/Piso" tableColumnId="2"/>
      <queryTableField id="3" name="Data Pagamento" tableColumnId="3"/>
      <queryTableField id="4" name="Valor" tableColumnId="4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ograma_Piso" xr10:uid="{AB5FF4DE-EDFF-4D04-B191-77A681A947FF}" sourceName="Programa/Piso">
  <pivotTables>
    <pivotTable tabId="5" name="Tabela dinâmica4"/>
  </pivotTables>
  <data>
    <tabular pivotCacheId="873542267">
      <items count="11">
        <i x="5" s="1"/>
        <i x="10"/>
        <i x="4"/>
        <i x="3"/>
        <i x="8"/>
        <i x="7"/>
        <i x="1"/>
        <i x="6"/>
        <i x="2"/>
        <i x="9"/>
        <i x="0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grama/Piso" xr10:uid="{1F9BB10E-BC41-4358-8499-A9877B3B723F}" cache="SegmentaçãodeDados_Programa_Piso" caption="Programa/Piso" style="Estilo de Segmentação de Dados 1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84B056-149A-41B3-B667-BEEFA4C6B6D5}" name="Data_Base" displayName="Data_Base" ref="A1:D35" tableType="queryTable" totalsRowShown="0">
  <autoFilter ref="A1:D35" xr:uid="{AA84B056-149A-41B3-B667-BEEFA4C6B6D5}"/>
  <tableColumns count="4">
    <tableColumn id="1" xr3:uid="{4666553C-AB9F-4BA3-ABE8-836D645EA77F}" uniqueName="1" name="Column1" queryTableFieldId="1"/>
    <tableColumn id="2" xr3:uid="{04ED3B6B-3DB7-4790-B40B-F62EE0E54099}" uniqueName="2" name="Programa/Piso" queryTableFieldId="2" dataDxfId="2"/>
    <tableColumn id="3" xr3:uid="{EB0F1A97-3508-4C7A-B324-960A66CD9F67}" uniqueName="3" name="Data Pagamento" queryTableFieldId="3" dataDxfId="1"/>
    <tableColumn id="4" xr3:uid="{91B3BEC2-AA93-419F-866A-49D03E6A0299}" uniqueName="4" name="Valor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Pagamento" xr10:uid="{FEA247CF-D572-48F1-9F51-CD6A1A6FF712}" sourceName="Data Pagamento">
  <pivotTables>
    <pivotTable tabId="5" name="Tabela dinâmica2"/>
  </pivotTables>
  <state minimalRefreshVersion="6" lastRefreshVersion="6" pivotCacheId="1556244442" filterType="dateBetween">
    <selection startDate="2022-01-01T00:00:00" endDate="2022-03-31T00:00:00"/>
    <bounds startDate="2022-01-01T00:00:00" endDate="2023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Pagamento1" xr10:uid="{3E31ED73-2E20-45DB-8117-39B0E15ADD96}" sourceName="Data Pagamento">
  <pivotTables>
    <pivotTable tabId="5" name="Tabela dinâmica4"/>
  </pivotTables>
  <state minimalRefreshVersion="6" lastRefreshVersion="6" pivotCacheId="873542267" filterType="dateBetween">
    <selection startDate="2022-01-01T00:00:00" endDate="2022-08-31T00:00:00"/>
    <bounds startDate="2022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Pagamento" xr10:uid="{2B7BD89A-2971-4163-8B2A-04D48FC648AB}" cache="NativeTimeline_Data_Pagamento" caption="Data Pagamento" showSelectionLabel="0" showTimeLevel="0" showHorizontalScrollbar="0" level="1" selectionLevel="1" scrollPosition="2022-01-01T00:00:00" style="Estilo de Linha do Tempo 1"/>
  <timeline name="Data Pagamento 1" xr10:uid="{1530FF37-314B-43F3-B7F5-7DC7596434EA}" cache="NativeTimeline_Data_Pagamento1" caption="Data Pagamento" showSelectionLabel="0" showTimeLevel="0" showHorizontalScrollbar="0" level="2" selectionLevel="2" scrollPosition="2022-01-01T00:00:00" style="Estilo de Linha do Tempo 1"/>
</timelines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11/relationships/timeline" Target="../timelines/timelin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E6D32-2731-4A02-A418-0EA80545BA51}">
  <dimension ref="A39:Y39"/>
  <sheetViews>
    <sheetView showGridLines="0" showRowColHeaders="0" tabSelected="1" workbookViewId="0">
      <selection activeCell="M4" sqref="M4"/>
    </sheetView>
  </sheetViews>
  <sheetFormatPr defaultRowHeight="15" x14ac:dyDescent="0.25"/>
  <cols>
    <col min="1" max="3" width="9.140625" style="1"/>
    <col min="4" max="4" width="14.140625" style="1" customWidth="1"/>
    <col min="5" max="24" width="9.140625" style="7"/>
    <col min="25" max="25" width="11.28515625" style="7" bestFit="1" customWidth="1"/>
    <col min="26" max="16384" width="9.140625" style="7"/>
  </cols>
  <sheetData>
    <row r="39" spans="25:25" x14ac:dyDescent="0.25">
      <c r="Y39" s="8">
        <f>GETPIVOTDATA("Valor",Planilha_sup!$A$101)</f>
        <v>48300.11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5080-DD6D-4983-AB9A-26141D6C3A26}">
  <dimension ref="A1:G104"/>
  <sheetViews>
    <sheetView topLeftCell="A71" workbookViewId="0">
      <selection activeCell="F104" sqref="F104"/>
    </sheetView>
  </sheetViews>
  <sheetFormatPr defaultRowHeight="15" x14ac:dyDescent="0.25"/>
  <cols>
    <col min="1" max="1" width="87.85546875" bestFit="1" customWidth="1"/>
    <col min="2" max="2" width="19.5703125" bestFit="1" customWidth="1"/>
    <col min="3" max="5" width="10.28515625" bestFit="1" customWidth="1"/>
    <col min="6" max="7" width="11.28515625" bestFit="1" customWidth="1"/>
    <col min="8" max="8" width="12.28515625" bestFit="1" customWidth="1"/>
    <col min="9" max="9" width="72.7109375" bestFit="1" customWidth="1"/>
    <col min="10" max="10" width="65.28515625" bestFit="1" customWidth="1"/>
    <col min="11" max="11" width="70.42578125" bestFit="1" customWidth="1"/>
    <col min="12" max="12" width="46.42578125" bestFit="1" customWidth="1"/>
    <col min="13" max="13" width="12.28515625" bestFit="1" customWidth="1"/>
    <col min="14" max="14" width="10.28515625" bestFit="1" customWidth="1"/>
    <col min="15" max="15" width="53.5703125" bestFit="1" customWidth="1"/>
    <col min="16" max="16" width="51" bestFit="1" customWidth="1"/>
    <col min="17" max="19" width="10.28515625" bestFit="1" customWidth="1"/>
    <col min="20" max="20" width="54.140625" bestFit="1" customWidth="1"/>
    <col min="21" max="21" width="47.7109375" bestFit="1" customWidth="1"/>
    <col min="22" max="22" width="51" bestFit="1" customWidth="1"/>
    <col min="23" max="23" width="95.42578125" bestFit="1" customWidth="1"/>
    <col min="24" max="26" width="10.28515625" bestFit="1" customWidth="1"/>
    <col min="27" max="27" width="98.5703125" bestFit="1" customWidth="1"/>
    <col min="28" max="28" width="76.42578125" bestFit="1" customWidth="1"/>
    <col min="29" max="31" width="8.7109375" bestFit="1" customWidth="1"/>
    <col min="32" max="32" width="79.7109375" bestFit="1" customWidth="1"/>
    <col min="33" max="33" width="74.5703125" bestFit="1" customWidth="1"/>
    <col min="34" max="36" width="10.28515625" bestFit="1" customWidth="1"/>
    <col min="37" max="37" width="77.7109375" bestFit="1" customWidth="1"/>
    <col min="38" max="38" width="67.140625" bestFit="1" customWidth="1"/>
    <col min="39" max="41" width="10.28515625" bestFit="1" customWidth="1"/>
    <col min="42" max="42" width="70.28515625" bestFit="1" customWidth="1"/>
    <col min="43" max="43" width="72.28515625" bestFit="1" customWidth="1"/>
    <col min="44" max="44" width="75.5703125" bestFit="1" customWidth="1"/>
    <col min="45" max="45" width="48.28515625" bestFit="1" customWidth="1"/>
    <col min="46" max="46" width="51.42578125" bestFit="1" customWidth="1"/>
    <col min="47" max="47" width="12.28515625" bestFit="1" customWidth="1"/>
  </cols>
  <sheetData>
    <row r="1" spans="1:2" x14ac:dyDescent="0.25">
      <c r="A1" s="5" t="s">
        <v>23</v>
      </c>
      <c r="B1" t="s">
        <v>24</v>
      </c>
    </row>
    <row r="3" spans="1:2" x14ac:dyDescent="0.25">
      <c r="A3" s="5" t="s">
        <v>17</v>
      </c>
      <c r="B3" t="s">
        <v>15</v>
      </c>
    </row>
    <row r="4" spans="1:2" x14ac:dyDescent="0.25">
      <c r="A4" s="6" t="s">
        <v>9</v>
      </c>
      <c r="B4" s="4">
        <v>17163.52</v>
      </c>
    </row>
    <row r="5" spans="1:2" x14ac:dyDescent="0.25">
      <c r="A5" s="6" t="s">
        <v>8</v>
      </c>
      <c r="B5" s="4">
        <v>10785.93</v>
      </c>
    </row>
    <row r="6" spans="1:2" x14ac:dyDescent="0.25">
      <c r="A6" s="6" t="s">
        <v>7</v>
      </c>
      <c r="B6" s="4">
        <v>9675.84</v>
      </c>
    </row>
    <row r="7" spans="1:2" x14ac:dyDescent="0.25">
      <c r="A7" s="6" t="s">
        <v>12</v>
      </c>
      <c r="B7" s="4">
        <v>17400</v>
      </c>
    </row>
    <row r="8" spans="1:2" x14ac:dyDescent="0.25">
      <c r="A8" s="6" t="s">
        <v>11</v>
      </c>
      <c r="B8" s="4">
        <v>2106.7600000000002</v>
      </c>
    </row>
    <row r="9" spans="1:2" x14ac:dyDescent="0.25">
      <c r="A9" s="6" t="s">
        <v>5</v>
      </c>
      <c r="B9" s="4">
        <v>495.51</v>
      </c>
    </row>
    <row r="10" spans="1:2" x14ac:dyDescent="0.25">
      <c r="A10" s="6" t="s">
        <v>10</v>
      </c>
      <c r="B10" s="4">
        <v>2738.79</v>
      </c>
    </row>
    <row r="11" spans="1:2" x14ac:dyDescent="0.25">
      <c r="A11" s="6" t="s">
        <v>6</v>
      </c>
      <c r="B11" s="4">
        <v>926.98</v>
      </c>
    </row>
    <row r="12" spans="1:2" x14ac:dyDescent="0.25">
      <c r="A12" s="6" t="s">
        <v>13</v>
      </c>
      <c r="B12" s="4">
        <v>14876</v>
      </c>
    </row>
    <row r="13" spans="1:2" x14ac:dyDescent="0.25">
      <c r="A13" s="6" t="s">
        <v>4</v>
      </c>
      <c r="B13" s="4">
        <v>500000</v>
      </c>
    </row>
    <row r="14" spans="1:2" x14ac:dyDescent="0.25">
      <c r="A14" s="6" t="s">
        <v>18</v>
      </c>
      <c r="B14" s="4">
        <v>576169.33000000007</v>
      </c>
    </row>
    <row r="101" spans="1:7" x14ac:dyDescent="0.25">
      <c r="A101" s="5" t="s">
        <v>15</v>
      </c>
      <c r="B101" s="5" t="s">
        <v>16</v>
      </c>
    </row>
    <row r="102" spans="1:7" x14ac:dyDescent="0.25">
      <c r="A102" s="5" t="s">
        <v>17</v>
      </c>
      <c r="B102" t="s">
        <v>19</v>
      </c>
      <c r="C102" t="s">
        <v>20</v>
      </c>
      <c r="D102" t="s">
        <v>21</v>
      </c>
      <c r="E102" t="s">
        <v>25</v>
      </c>
      <c r="F102" t="s">
        <v>22</v>
      </c>
      <c r="G102" t="s">
        <v>18</v>
      </c>
    </row>
    <row r="103" spans="1:7" x14ac:dyDescent="0.25">
      <c r="A103" s="6" t="s">
        <v>9</v>
      </c>
      <c r="B103" s="4">
        <v>17163.52</v>
      </c>
      <c r="C103" s="4">
        <v>6674.7</v>
      </c>
      <c r="D103" s="4">
        <v>6356.86</v>
      </c>
      <c r="E103" s="4">
        <v>6356.86</v>
      </c>
      <c r="F103" s="4">
        <v>11748.17</v>
      </c>
      <c r="G103" s="4">
        <v>48300.11</v>
      </c>
    </row>
    <row r="104" spans="1:7" x14ac:dyDescent="0.25">
      <c r="A104" s="6" t="s">
        <v>18</v>
      </c>
      <c r="B104" s="4">
        <v>17163.52</v>
      </c>
      <c r="C104" s="4">
        <v>6674.7</v>
      </c>
      <c r="D104" s="4">
        <v>6356.86</v>
      </c>
      <c r="E104" s="4">
        <v>6356.86</v>
      </c>
      <c r="F104" s="4">
        <v>11748.17</v>
      </c>
      <c r="G104" s="4">
        <v>48300.11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AE190-9719-4B39-BBAC-D369C4EDD745}">
  <dimension ref="A1:D35"/>
  <sheetViews>
    <sheetView workbookViewId="0"/>
  </sheetViews>
  <sheetFormatPr defaultRowHeight="15" x14ac:dyDescent="0.25"/>
  <cols>
    <col min="1" max="1" width="11.140625" bestFit="1" customWidth="1"/>
    <col min="2" max="2" width="81.140625" bestFit="1" customWidth="1"/>
    <col min="3" max="3" width="17.85546875" bestFit="1" customWidth="1"/>
    <col min="4" max="4" width="12.285156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5</v>
      </c>
      <c r="B2" s="2" t="s">
        <v>4</v>
      </c>
      <c r="C2" s="3">
        <v>44613</v>
      </c>
      <c r="D2" s="4">
        <v>500000</v>
      </c>
    </row>
    <row r="3" spans="1:4" x14ac:dyDescent="0.25">
      <c r="A3">
        <v>7</v>
      </c>
      <c r="B3" s="2" t="s">
        <v>5</v>
      </c>
      <c r="C3" s="3">
        <v>44669</v>
      </c>
      <c r="D3" s="4">
        <v>984.61</v>
      </c>
    </row>
    <row r="4" spans="1:4" x14ac:dyDescent="0.25">
      <c r="A4">
        <v>24</v>
      </c>
      <c r="B4" s="2" t="s">
        <v>6</v>
      </c>
      <c r="C4" s="3">
        <v>44636</v>
      </c>
      <c r="D4" s="4">
        <v>926.98</v>
      </c>
    </row>
    <row r="5" spans="1:4" x14ac:dyDescent="0.25">
      <c r="A5">
        <v>8</v>
      </c>
      <c r="B5" s="2" t="s">
        <v>5</v>
      </c>
      <c r="C5" s="3">
        <v>44712</v>
      </c>
      <c r="D5" s="4">
        <v>920.52</v>
      </c>
    </row>
    <row r="6" spans="1:4" x14ac:dyDescent="0.25">
      <c r="A6">
        <v>10</v>
      </c>
      <c r="B6" s="2" t="s">
        <v>7</v>
      </c>
      <c r="C6" s="3">
        <v>44650</v>
      </c>
      <c r="D6" s="4">
        <v>9675.84</v>
      </c>
    </row>
    <row r="7" spans="1:4" x14ac:dyDescent="0.25">
      <c r="A7">
        <v>4</v>
      </c>
      <c r="B7" s="2" t="s">
        <v>8</v>
      </c>
      <c r="C7" s="3">
        <v>44770</v>
      </c>
      <c r="D7" s="4">
        <v>7059.04</v>
      </c>
    </row>
    <row r="8" spans="1:4" x14ac:dyDescent="0.25">
      <c r="A8">
        <v>15</v>
      </c>
      <c r="B8" s="2" t="s">
        <v>9</v>
      </c>
      <c r="C8" s="3">
        <v>44658</v>
      </c>
      <c r="D8" s="4">
        <v>6674.7</v>
      </c>
    </row>
    <row r="9" spans="1:4" x14ac:dyDescent="0.25">
      <c r="A9">
        <v>16</v>
      </c>
      <c r="B9" s="2" t="s">
        <v>9</v>
      </c>
      <c r="C9" s="3">
        <v>44692</v>
      </c>
      <c r="D9" s="4">
        <v>6356.86</v>
      </c>
    </row>
    <row r="10" spans="1:4" x14ac:dyDescent="0.25">
      <c r="A10">
        <v>17</v>
      </c>
      <c r="B10" s="2" t="s">
        <v>9</v>
      </c>
      <c r="C10" s="3">
        <v>44715</v>
      </c>
      <c r="D10" s="4">
        <v>6356.86</v>
      </c>
    </row>
    <row r="11" spans="1:4" x14ac:dyDescent="0.25">
      <c r="A11">
        <v>12</v>
      </c>
      <c r="B11" s="2" t="s">
        <v>7</v>
      </c>
      <c r="C11" s="3">
        <v>44712</v>
      </c>
      <c r="D11" s="4">
        <v>6224.28</v>
      </c>
    </row>
    <row r="12" spans="1:4" x14ac:dyDescent="0.25">
      <c r="A12">
        <v>21</v>
      </c>
      <c r="B12" s="2" t="s">
        <v>10</v>
      </c>
      <c r="C12" s="3">
        <v>44655</v>
      </c>
      <c r="D12" s="4">
        <v>5442.15</v>
      </c>
    </row>
    <row r="13" spans="1:4" x14ac:dyDescent="0.25">
      <c r="A13">
        <v>22</v>
      </c>
      <c r="B13" s="2" t="s">
        <v>10</v>
      </c>
      <c r="C13" s="3">
        <v>44712</v>
      </c>
      <c r="D13" s="4">
        <v>5087.88</v>
      </c>
    </row>
    <row r="14" spans="1:4" x14ac:dyDescent="0.25">
      <c r="A14">
        <v>6</v>
      </c>
      <c r="B14" s="2" t="s">
        <v>5</v>
      </c>
      <c r="C14" s="3">
        <v>44636</v>
      </c>
      <c r="D14" s="4">
        <v>495.51</v>
      </c>
    </row>
    <row r="15" spans="1:4" x14ac:dyDescent="0.25">
      <c r="A15">
        <v>31</v>
      </c>
      <c r="B15" s="2" t="s">
        <v>11</v>
      </c>
      <c r="C15" s="3">
        <v>44656</v>
      </c>
      <c r="D15" s="4">
        <v>4186.2700000000004</v>
      </c>
    </row>
    <row r="16" spans="1:4" x14ac:dyDescent="0.25">
      <c r="A16">
        <v>32</v>
      </c>
      <c r="B16" s="2" t="s">
        <v>11</v>
      </c>
      <c r="C16" s="3">
        <v>44712</v>
      </c>
      <c r="D16" s="4">
        <v>3913.75</v>
      </c>
    </row>
    <row r="17" spans="1:4" x14ac:dyDescent="0.25">
      <c r="A17">
        <v>1</v>
      </c>
      <c r="B17" s="2" t="s">
        <v>8</v>
      </c>
      <c r="C17" s="3">
        <v>44655</v>
      </c>
      <c r="D17" s="4">
        <v>3501.25</v>
      </c>
    </row>
    <row r="18" spans="1:4" x14ac:dyDescent="0.25">
      <c r="A18">
        <v>2</v>
      </c>
      <c r="B18" s="2" t="s">
        <v>8</v>
      </c>
      <c r="C18" s="3">
        <v>44697</v>
      </c>
      <c r="D18" s="4">
        <v>3486.63</v>
      </c>
    </row>
    <row r="19" spans="1:4" x14ac:dyDescent="0.25">
      <c r="A19">
        <v>11</v>
      </c>
      <c r="B19" s="2" t="s">
        <v>7</v>
      </c>
      <c r="C19" s="3">
        <v>44652</v>
      </c>
      <c r="D19" s="4">
        <v>3159.21</v>
      </c>
    </row>
    <row r="20" spans="1:4" x14ac:dyDescent="0.25">
      <c r="A20">
        <v>20</v>
      </c>
      <c r="B20" s="2" t="s">
        <v>10</v>
      </c>
      <c r="C20" s="3">
        <v>44636</v>
      </c>
      <c r="D20" s="4">
        <v>2738.79</v>
      </c>
    </row>
    <row r="21" spans="1:4" x14ac:dyDescent="0.25">
      <c r="A21">
        <v>3</v>
      </c>
      <c r="B21" s="2" t="s">
        <v>8</v>
      </c>
      <c r="C21" s="3">
        <v>44714</v>
      </c>
      <c r="D21" s="4">
        <v>2685.54</v>
      </c>
    </row>
    <row r="22" spans="1:4" x14ac:dyDescent="0.25">
      <c r="A22">
        <v>30</v>
      </c>
      <c r="B22" s="2" t="s">
        <v>11</v>
      </c>
      <c r="C22" s="3">
        <v>44636</v>
      </c>
      <c r="D22" s="4">
        <v>2106.7600000000002</v>
      </c>
    </row>
    <row r="23" spans="1:4" x14ac:dyDescent="0.25">
      <c r="A23">
        <v>28</v>
      </c>
      <c r="B23" s="2" t="s">
        <v>12</v>
      </c>
      <c r="C23" s="3">
        <v>44624</v>
      </c>
      <c r="D23" s="4">
        <v>17400</v>
      </c>
    </row>
    <row r="24" spans="1:4" x14ac:dyDescent="0.25">
      <c r="A24">
        <v>14</v>
      </c>
      <c r="B24" s="2" t="s">
        <v>9</v>
      </c>
      <c r="C24" s="3">
        <v>44641</v>
      </c>
      <c r="D24" s="4">
        <v>17163.52</v>
      </c>
    </row>
    <row r="25" spans="1:4" x14ac:dyDescent="0.25">
      <c r="A25">
        <v>29</v>
      </c>
      <c r="B25" s="2" t="s">
        <v>13</v>
      </c>
      <c r="C25" s="3">
        <v>44624</v>
      </c>
      <c r="D25" s="4">
        <v>14876</v>
      </c>
    </row>
    <row r="26" spans="1:4" x14ac:dyDescent="0.25">
      <c r="A26">
        <v>18</v>
      </c>
      <c r="B26" s="2" t="s">
        <v>9</v>
      </c>
      <c r="C26" s="3">
        <v>44770</v>
      </c>
      <c r="D26" s="4">
        <v>11748.17</v>
      </c>
    </row>
    <row r="27" spans="1:4" x14ac:dyDescent="0.25">
      <c r="A27">
        <v>0</v>
      </c>
      <c r="B27" s="2" t="s">
        <v>8</v>
      </c>
      <c r="C27" s="3">
        <v>44650</v>
      </c>
      <c r="D27" s="4">
        <v>10785.93</v>
      </c>
    </row>
    <row r="28" spans="1:4" x14ac:dyDescent="0.25">
      <c r="A28">
        <v>25</v>
      </c>
      <c r="B28" s="2" t="s">
        <v>6</v>
      </c>
      <c r="C28" s="3">
        <v>44669</v>
      </c>
      <c r="D28" s="4">
        <v>1841.96</v>
      </c>
    </row>
    <row r="29" spans="1:4" x14ac:dyDescent="0.25">
      <c r="A29">
        <v>26</v>
      </c>
      <c r="B29" s="2" t="s">
        <v>6</v>
      </c>
      <c r="C29" s="3">
        <v>44712</v>
      </c>
      <c r="D29" s="4">
        <v>1722.05</v>
      </c>
    </row>
    <row r="30" spans="1:4" x14ac:dyDescent="0.25">
      <c r="A30">
        <v>9</v>
      </c>
      <c r="B30" s="2" t="s">
        <v>5</v>
      </c>
      <c r="C30" s="3">
        <v>44770</v>
      </c>
      <c r="D30" s="4">
        <v>991.44</v>
      </c>
    </row>
    <row r="31" spans="1:4" x14ac:dyDescent="0.25">
      <c r="A31">
        <v>13</v>
      </c>
      <c r="B31" s="2" t="s">
        <v>7</v>
      </c>
      <c r="C31" s="3">
        <v>44770</v>
      </c>
      <c r="D31" s="4">
        <v>5947.26</v>
      </c>
    </row>
    <row r="32" spans="1:4" x14ac:dyDescent="0.25">
      <c r="A32">
        <v>23</v>
      </c>
      <c r="B32" s="2" t="s">
        <v>10</v>
      </c>
      <c r="C32" s="3">
        <v>44770</v>
      </c>
      <c r="D32" s="4">
        <v>5479.87</v>
      </c>
    </row>
    <row r="33" spans="1:4" x14ac:dyDescent="0.25">
      <c r="A33">
        <v>33</v>
      </c>
      <c r="B33" s="2" t="s">
        <v>11</v>
      </c>
      <c r="C33" s="3">
        <v>44770</v>
      </c>
      <c r="D33" s="4">
        <v>4215.28</v>
      </c>
    </row>
    <row r="34" spans="1:4" x14ac:dyDescent="0.25">
      <c r="A34">
        <v>27</v>
      </c>
      <c r="B34" s="2" t="s">
        <v>6</v>
      </c>
      <c r="C34" s="3">
        <v>44770</v>
      </c>
      <c r="D34" s="4">
        <v>1854.72</v>
      </c>
    </row>
    <row r="35" spans="1:4" x14ac:dyDescent="0.25">
      <c r="A35">
        <v>19</v>
      </c>
      <c r="B35" s="2" t="s">
        <v>14</v>
      </c>
      <c r="C35" s="3">
        <v>44756</v>
      </c>
      <c r="D35" s="4">
        <v>9000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71E565-A84E-4A18-996F-2944F31A0F8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Dashboard</vt:lpstr>
      <vt:lpstr>Planilha_sup</vt:lpstr>
      <vt:lpstr>Data_Base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Escritorio</dc:creator>
  <cp:lastModifiedBy>Escritorio</cp:lastModifiedBy>
  <dcterms:created xsi:type="dcterms:W3CDTF">2022-08-05T00:45:34Z</dcterms:created>
  <dcterms:modified xsi:type="dcterms:W3CDTF">2022-08-07T21:22:46Z</dcterms:modified>
</cp:coreProperties>
</file>